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 hidePivotFieldList="1"/>
  <xr:revisionPtr revIDLastSave="0" documentId="8_{354E6015-91B7-40A3-A7E8-E2BE667BBD2A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Aplicativo" sheetId="1" r:id="rId1"/>
    <sheet name="Support_table" sheetId="2" r:id="rId2"/>
  </sheets>
  <definedNames>
    <definedName name="_xlnm._FilterDatabase" localSheetId="1" hidden="1">Support_table!$A$1:$D$1</definedName>
    <definedName name="aporte">Aplicativo!$D$16</definedName>
    <definedName name="dividendos_mensais">Aplicativo!$D$20</definedName>
    <definedName name="patrimonio">Aplicativo!$D$19</definedName>
    <definedName name="qtd_anos">Aplicativo!$D$17</definedName>
    <definedName name="rendimento_carteira">Aplicativo!$D$12</definedName>
    <definedName name="salario">Aplicativo!$D$11</definedName>
    <definedName name="sugestao_investimento">Aplicativo!$D$13</definedName>
    <definedName name="taxa_mensal">Aplicativo!$D$18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1" l="1"/>
  <c r="C45" i="1"/>
  <c r="C46" i="1"/>
  <c r="C47" i="1"/>
  <c r="C48" i="1"/>
  <c r="C43" i="1"/>
  <c r="C34" i="1"/>
  <c r="H3" i="2"/>
  <c r="C30" i="1"/>
  <c r="C35" i="1"/>
  <c r="C36" i="1"/>
  <c r="C37" i="1"/>
  <c r="C38" i="1"/>
  <c r="C39" i="1"/>
  <c r="D39" i="1"/>
  <c r="D35" i="1"/>
  <c r="D36" i="1"/>
  <c r="D37" i="1"/>
  <c r="D38" i="1"/>
  <c r="D34" i="1"/>
  <c r="D40" i="1" s="1"/>
  <c r="D19" i="1"/>
  <c r="D20" i="1" s="1"/>
  <c r="D13" i="1"/>
  <c r="C24" i="1"/>
  <c r="D24" i="1" s="1"/>
  <c r="C25" i="1"/>
  <c r="D25" i="1" s="1"/>
  <c r="C26" i="1"/>
  <c r="D26" i="1" s="1"/>
  <c r="C27" i="1"/>
  <c r="D27" i="1" s="1"/>
  <c r="C23" i="1"/>
  <c r="D23" i="1" s="1"/>
  <c r="D43" i="1" l="1"/>
  <c r="D48" i="1"/>
  <c r="D47" i="1"/>
  <c r="D46" i="1"/>
  <c r="D45" i="1"/>
  <c r="D44" i="1"/>
  <c r="C31" i="1"/>
  <c r="D49" i="1" l="1"/>
</calcChain>
</file>

<file path=xl/sharedStrings.xml><?xml version="1.0" encoding="utf-8"?>
<sst xmlns="http://schemas.openxmlformats.org/spreadsheetml/2006/main" count="101" uniqueCount="55">
  <si>
    <t>CONFIGURAÇÕES</t>
  </si>
  <si>
    <t>Salário</t>
  </si>
  <si>
    <t>Rendimento da carteira</t>
  </si>
  <si>
    <t>Sugestão de investimento</t>
  </si>
  <si>
    <t>INVESTIMENTO MENSAL</t>
  </si>
  <si>
    <t>Quanto investir por mês?</t>
  </si>
  <si>
    <t>Por quantos anos vai investir?</t>
  </si>
  <si>
    <t>Qual é a taxa de rendimento mensal?</t>
  </si>
  <si>
    <t>Patrimônio acumulado no período?</t>
  </si>
  <si>
    <t>Dividendos mensais?</t>
  </si>
  <si>
    <t>Cenários</t>
  </si>
  <si>
    <t>Dividendos</t>
  </si>
  <si>
    <t>Patrimônio acumulado em 2 anos?</t>
  </si>
  <si>
    <t>Patrimônio acumulado em 5 anos?</t>
  </si>
  <si>
    <t>Patrimônio acumulado em 10 anos?</t>
  </si>
  <si>
    <t>Patrimônio acumulado em 20 anos?</t>
  </si>
  <si>
    <t>Patrimônio acumulado em 30 anos?</t>
  </si>
  <si>
    <t>Perfil do investidor</t>
  </si>
  <si>
    <t>Conservador</t>
  </si>
  <si>
    <t>Valor a investir</t>
  </si>
  <si>
    <t>Valor sugerido</t>
  </si>
  <si>
    <t>TIPO DE FII</t>
  </si>
  <si>
    <t>Percentual sugerido</t>
  </si>
  <si>
    <t>Valores</t>
  </si>
  <si>
    <t>PAPEL</t>
  </si>
  <si>
    <t>TIJOLO</t>
  </si>
  <si>
    <t>HÍBRIDO</t>
  </si>
  <si>
    <t>FOFs</t>
  </si>
  <si>
    <t>DESENVOLVIMENTO</t>
  </si>
  <si>
    <t>HOTELARIA</t>
  </si>
  <si>
    <t>CHAVE</t>
  </si>
  <si>
    <t>PERFIL DE INVESTIDOR</t>
  </si>
  <si>
    <t>VALOR</t>
  </si>
  <si>
    <t>Conservador-PAPEL</t>
  </si>
  <si>
    <t>Consevador</t>
  </si>
  <si>
    <t>%</t>
  </si>
  <si>
    <t>Conservador-TIJOLO</t>
  </si>
  <si>
    <t>Agressivo-PAPEL</t>
  </si>
  <si>
    <t>Conservador-HÍBRIDO</t>
  </si>
  <si>
    <t>Conservador-FOFs</t>
  </si>
  <si>
    <t>Conservador-DESENVOLVIMENTO</t>
  </si>
  <si>
    <t>Conservador-HOTELARIA</t>
  </si>
  <si>
    <t>Moderado-PAPEL</t>
  </si>
  <si>
    <t>Moderado</t>
  </si>
  <si>
    <t>Moderado-TIJOLO</t>
  </si>
  <si>
    <t>Moderado-HÍBRIDO</t>
  </si>
  <si>
    <t>Moderado-FOFs</t>
  </si>
  <si>
    <t>Moderado-DESENVOLVIMENTO</t>
  </si>
  <si>
    <t>Moderado-HOTELARIA</t>
  </si>
  <si>
    <t>Agressivo</t>
  </si>
  <si>
    <t>Agressivo-TIJOLO</t>
  </si>
  <si>
    <t>Agressivo-HÍBRIDO</t>
  </si>
  <si>
    <t>Agressivo-FOFs</t>
  </si>
  <si>
    <t>Agressivo-DESENVOLVIMENTO</t>
  </si>
  <si>
    <t>Agressivo-HOTELARIA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</si>
</sst>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9">
    <font>
      <sz val="11"/>
      <color theme="1"/>
      <name val="Aptos Narrow"/>
      <family val="2"/>
      <scheme val="minor"/>
    </font>
    <font>
      <b/>
      <sz val="16"/>
      <color theme="0"/>
      <name val="Segoe UI"/>
    </font>
    <font>
      <b/>
      <sz val="12"/>
      <color theme="0"/>
      <name val="Segoe UI"/>
    </font>
    <font>
      <sz val="11"/>
      <color theme="0"/>
      <name val="Aptos Narrow"/>
      <family val="2"/>
      <scheme val="minor"/>
    </font>
    <font>
      <sz val="11"/>
      <color theme="1"/>
      <name val="Segoe UI"/>
    </font>
    <font>
      <b/>
      <sz val="11"/>
      <color theme="1"/>
      <name val="Segoe UI"/>
    </font>
    <font>
      <sz val="11"/>
      <color rgb="FF9C5700"/>
      <name val="Calibri"/>
      <scheme val="minor"/>
    </font>
    <font>
      <sz val="11"/>
      <color rgb="FF9C5700"/>
      <name val="Segoe UI"/>
    </font>
    <font>
      <b/>
      <sz val="11"/>
      <color theme="0"/>
      <name val="Segoe UI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3A96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1"/>
        <bgColor indexed="64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rgb="FF000000"/>
      </left>
      <right style="thin">
        <color theme="0" tint="-0.249977111117893"/>
      </right>
      <top style="thin">
        <color theme="0" tint="-0.249977111117893"/>
      </top>
      <bottom style="medium">
        <color rgb="FF000000"/>
      </bottom>
      <diagonal/>
    </border>
    <border>
      <left style="thin">
        <color theme="0" tint="-0.249977111117893"/>
      </left>
      <right style="medium">
        <color rgb="FF000000"/>
      </right>
      <top style="thin">
        <color theme="0" tint="-0.249977111117893"/>
      </top>
      <bottom style="medium">
        <color rgb="FF000000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/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theme="1"/>
      </bottom>
      <diagonal/>
    </border>
    <border>
      <left style="thin">
        <color theme="0" tint="-0.249977111117893"/>
      </left>
      <right style="medium">
        <color theme="1"/>
      </right>
      <top/>
      <bottom style="medium">
        <color theme="1"/>
      </bottom>
      <diagonal/>
    </border>
    <border>
      <left/>
      <right/>
      <top style="medium">
        <color rgb="FF000000"/>
      </top>
      <bottom/>
      <diagonal/>
    </border>
    <border>
      <left style="thin">
        <color theme="0" tint="-0.249977111117893"/>
      </left>
      <right style="medium">
        <color rgb="FF000000"/>
      </right>
      <top/>
      <bottom style="thin">
        <color theme="0" tint="-0.249977111117893"/>
      </bottom>
      <diagonal/>
    </border>
    <border>
      <left style="medium">
        <color rgb="FF000000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rgb="FF00000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2">
    <xf numFmtId="0" fontId="0" fillId="0" borderId="0"/>
    <xf numFmtId="0" fontId="6" fillId="5" borderId="0" applyNumberFormat="0" applyBorder="0" applyAlignment="0" applyProtection="0"/>
  </cellStyleXfs>
  <cellXfs count="87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2" fillId="3" borderId="9" xfId="0" applyFont="1" applyFill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10" fontId="5" fillId="0" borderId="4" xfId="0" applyNumberFormat="1" applyFont="1" applyBorder="1" applyAlignment="1">
      <alignment horizontal="center"/>
    </xf>
    <xf numFmtId="8" fontId="5" fillId="2" borderId="4" xfId="0" applyNumberFormat="1" applyFont="1" applyFill="1" applyBorder="1" applyAlignment="1">
      <alignment horizontal="center"/>
    </xf>
    <xf numFmtId="8" fontId="5" fillId="2" borderId="6" xfId="0" applyNumberFormat="1" applyFont="1" applyFill="1" applyBorder="1" applyAlignment="1">
      <alignment horizontal="center"/>
    </xf>
    <xf numFmtId="164" fontId="5" fillId="0" borderId="18" xfId="0" applyNumberFormat="1" applyFont="1" applyBorder="1" applyAlignment="1">
      <alignment horizontal="center"/>
    </xf>
    <xf numFmtId="164" fontId="5" fillId="2" borderId="6" xfId="0" applyNumberFormat="1" applyFont="1" applyFill="1" applyBorder="1" applyAlignment="1">
      <alignment horizontal="center"/>
    </xf>
    <xf numFmtId="0" fontId="4" fillId="2" borderId="10" xfId="0" applyFont="1" applyFill="1" applyBorder="1"/>
    <xf numFmtId="8" fontId="4" fillId="2" borderId="11" xfId="0" applyNumberFormat="1" applyFont="1" applyFill="1" applyBorder="1" applyAlignment="1">
      <alignment horizontal="right"/>
    </xf>
    <xf numFmtId="0" fontId="4" fillId="2" borderId="13" xfId="0" applyFont="1" applyFill="1" applyBorder="1"/>
    <xf numFmtId="0" fontId="4" fillId="2" borderId="14" xfId="0" applyFont="1" applyFill="1" applyBorder="1"/>
    <xf numFmtId="8" fontId="4" fillId="2" borderId="15" xfId="0" applyNumberFormat="1" applyFont="1" applyFill="1" applyBorder="1" applyAlignment="1">
      <alignment horizontal="right"/>
    </xf>
    <xf numFmtId="8" fontId="4" fillId="2" borderId="12" xfId="0" applyNumberFormat="1" applyFont="1" applyFill="1" applyBorder="1" applyAlignment="1">
      <alignment horizontal="right"/>
    </xf>
    <xf numFmtId="8" fontId="4" fillId="2" borderId="16" xfId="0" applyNumberFormat="1" applyFont="1" applyFill="1" applyBorder="1" applyAlignment="1">
      <alignment horizontal="right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7" fillId="5" borderId="0" xfId="1" applyFont="1"/>
    <xf numFmtId="0" fontId="7" fillId="5" borderId="0" xfId="1" applyFont="1" applyAlignment="1">
      <alignment horizontal="center"/>
    </xf>
    <xf numFmtId="0" fontId="5" fillId="2" borderId="0" xfId="0" applyFont="1" applyFill="1"/>
    <xf numFmtId="164" fontId="5" fillId="2" borderId="0" xfId="0" applyNumberFormat="1" applyFont="1" applyFill="1" applyAlignment="1">
      <alignment horizontal="center"/>
    </xf>
    <xf numFmtId="0" fontId="4" fillId="2" borderId="0" xfId="0" applyFont="1" applyFill="1"/>
    <xf numFmtId="0" fontId="4" fillId="0" borderId="0" xfId="0" applyFont="1"/>
    <xf numFmtId="0" fontId="8" fillId="8" borderId="0" xfId="0" applyFont="1" applyFill="1"/>
    <xf numFmtId="164" fontId="8" fillId="8" borderId="0" xfId="0" applyNumberFormat="1" applyFont="1" applyFill="1" applyAlignment="1">
      <alignment horizontal="center"/>
    </xf>
    <xf numFmtId="0" fontId="8" fillId="7" borderId="7" xfId="0" applyFont="1" applyFill="1" applyBorder="1" applyAlignment="1">
      <alignment horizontal="center"/>
    </xf>
    <xf numFmtId="0" fontId="8" fillId="7" borderId="8" xfId="0" applyFont="1" applyFill="1" applyBorder="1" applyAlignment="1">
      <alignment horizontal="center"/>
    </xf>
    <xf numFmtId="9" fontId="8" fillId="7" borderId="9" xfId="0" applyNumberFormat="1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9" fontId="4" fillId="2" borderId="24" xfId="0" applyNumberFormat="1" applyFont="1" applyFill="1" applyBorder="1" applyAlignment="1">
      <alignment horizontal="center"/>
    </xf>
    <xf numFmtId="0" fontId="4" fillId="0" borderId="0" xfId="0" applyFont="1" applyAlignment="1">
      <alignment horizontal="right"/>
    </xf>
    <xf numFmtId="10" fontId="7" fillId="5" borderId="0" xfId="1" applyNumberFormat="1" applyFont="1"/>
    <xf numFmtId="0" fontId="8" fillId="7" borderId="23" xfId="0" applyFont="1" applyFill="1" applyBorder="1" applyAlignment="1">
      <alignment horizontal="center"/>
    </xf>
    <xf numFmtId="0" fontId="8" fillId="7" borderId="0" xfId="0" applyFont="1" applyFill="1" applyBorder="1" applyAlignment="1">
      <alignment horizontal="center"/>
    </xf>
    <xf numFmtId="9" fontId="8" fillId="7" borderId="24" xfId="0" applyNumberFormat="1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9" fontId="4" fillId="2" borderId="12" xfId="0" applyNumberFormat="1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9" fontId="4" fillId="2" borderId="25" xfId="0" applyNumberFormat="1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9" fontId="4" fillId="2" borderId="27" xfId="0" applyNumberFormat="1" applyFont="1" applyFill="1" applyBorder="1" applyAlignment="1">
      <alignment horizontal="center"/>
    </xf>
    <xf numFmtId="0" fontId="8" fillId="7" borderId="28" xfId="0" applyFont="1" applyFill="1" applyBorder="1" applyAlignment="1">
      <alignment horizontal="center"/>
    </xf>
    <xf numFmtId="0" fontId="8" fillId="7" borderId="29" xfId="0" applyFont="1" applyFill="1" applyBorder="1" applyAlignment="1">
      <alignment horizontal="center"/>
    </xf>
    <xf numFmtId="9" fontId="8" fillId="7" borderId="30" xfId="0" applyNumberFormat="1" applyFont="1" applyFill="1" applyBorder="1" applyAlignment="1">
      <alignment horizontal="center"/>
    </xf>
    <xf numFmtId="9" fontId="4" fillId="2" borderId="11" xfId="0" applyNumberFormat="1" applyFont="1" applyFill="1" applyBorder="1" applyAlignment="1">
      <alignment horizontal="center"/>
    </xf>
    <xf numFmtId="9" fontId="4" fillId="2" borderId="20" xfId="0" applyNumberFormat="1" applyFont="1" applyFill="1" applyBorder="1" applyAlignment="1">
      <alignment horizontal="center"/>
    </xf>
    <xf numFmtId="9" fontId="4" fillId="2" borderId="22" xfId="0" applyNumberFormat="1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164" fontId="4" fillId="2" borderId="12" xfId="0" applyNumberFormat="1" applyFont="1" applyFill="1" applyBorder="1" applyAlignment="1">
      <alignment horizontal="center"/>
    </xf>
    <xf numFmtId="164" fontId="4" fillId="2" borderId="25" xfId="0" applyNumberFormat="1" applyFont="1" applyFill="1" applyBorder="1" applyAlignment="1">
      <alignment horizontal="center"/>
    </xf>
    <xf numFmtId="164" fontId="4" fillId="2" borderId="27" xfId="0" applyNumberFormat="1" applyFont="1" applyFill="1" applyBorder="1" applyAlignment="1">
      <alignment horizontal="center"/>
    </xf>
    <xf numFmtId="0" fontId="5" fillId="6" borderId="28" xfId="0" applyFont="1" applyFill="1" applyBorder="1" applyAlignment="1">
      <alignment horizontal="center"/>
    </xf>
    <xf numFmtId="0" fontId="5" fillId="6" borderId="29" xfId="0" applyFont="1" applyFill="1" applyBorder="1" applyAlignment="1">
      <alignment horizontal="center"/>
    </xf>
    <xf numFmtId="164" fontId="5" fillId="6" borderId="30" xfId="0" applyNumberFormat="1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8" fillId="8" borderId="28" xfId="0" applyFont="1" applyFill="1" applyBorder="1" applyAlignment="1">
      <alignment horizontal="center"/>
    </xf>
    <xf numFmtId="0" fontId="8" fillId="8" borderId="29" xfId="0" applyFont="1" applyFill="1" applyBorder="1" applyAlignment="1">
      <alignment horizontal="center"/>
    </xf>
    <xf numFmtId="164" fontId="8" fillId="8" borderId="30" xfId="0" applyNumberFormat="1" applyFont="1" applyFill="1" applyBorder="1" applyAlignment="1">
      <alignment horizontal="center"/>
    </xf>
    <xf numFmtId="0" fontId="5" fillId="2" borderId="3" xfId="0" applyFont="1" applyFill="1" applyBorder="1" applyAlignment="1">
      <alignment horizontal="left"/>
    </xf>
    <xf numFmtId="0" fontId="5" fillId="2" borderId="20" xfId="0" applyFont="1" applyFill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0" fontId="5" fillId="2" borderId="21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4" fillId="2" borderId="19" xfId="0" applyFont="1" applyFill="1" applyBorder="1" applyAlignment="1">
      <alignment horizontal="left"/>
    </xf>
    <xf numFmtId="0" fontId="4" fillId="2" borderId="11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20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4" fillId="2" borderId="2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 vertical="center" wrapText="1"/>
    </xf>
    <xf numFmtId="0" fontId="1" fillId="4" borderId="17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</cellXfs>
  <cellStyles count="2">
    <cellStyle name="Neutro" xfId="1" builtinId="28"/>
    <cellStyle name="Normal" xfId="0" builtinId="0"/>
  </cellStyles>
  <dxfs count="1">
    <dxf>
      <font>
        <color theme="1"/>
      </font>
      <fill>
        <patternFill patternType="solid">
          <bgColor rgb="FFD2FF00"/>
        </patternFill>
      </fill>
    </dxf>
  </dxfs>
  <tableStyles count="0" defaultTableStyle="TableStyleMedium2" defaultPivotStyle="PivotStyleMedium9"/>
  <colors>
    <mruColors>
      <color rgb="FFD2FF00"/>
      <color rgb="FFC8FF00"/>
      <color rgb="FFE6AC00"/>
      <color rgb="FF3A96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Percentual sugerido</a:t>
            </a:r>
          </a:p>
        </c:rich>
      </c:tx>
      <c:overlay val="0"/>
      <c:spPr>
        <a:solidFill>
          <a:srgbClr val="FFFFFF"/>
        </a:solidFill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Aplicativo!$C$33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E92-4A9B-B753-7A75A90B3993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92-4A9B-B753-7A75A90B3993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E92-4A9B-B753-7A75A90B3993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E92-4A9B-B753-7A75A90B3993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E92-4A9B-B753-7A75A90B3993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E92-4A9B-B753-7A75A90B39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Aplicativo!$B$34:$B$39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Aplicativo!$C$34:$C$39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2-4D8B-ACBB-8CBA778AC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104775</xdr:rowOff>
    </xdr:from>
    <xdr:to>
      <xdr:col>4</xdr:col>
      <xdr:colOff>38100</xdr:colOff>
      <xdr:row>8</xdr:row>
      <xdr:rowOff>47625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8243FD0-1A05-4C1E-8D78-DB31BB3E4A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390525" y="104775"/>
          <a:ext cx="4933950" cy="146685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49</xdr:row>
      <xdr:rowOff>180975</xdr:rowOff>
    </xdr:from>
    <xdr:to>
      <xdr:col>3</xdr:col>
      <xdr:colOff>762000</xdr:colOff>
      <xdr:row>62</xdr:row>
      <xdr:rowOff>180975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F7510D7-A112-C117-66EB-E5A2F91921DB}"/>
            </a:ext>
            <a:ext uri="{147F2762-F138-4A5C-976F-8EAC2B608ADB}">
              <a16:predDERef xmlns:a16="http://schemas.microsoft.com/office/drawing/2014/main" pred="{88243FD0-1A05-4C1E-8D78-DB31BB3E4A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D49"/>
  <sheetViews>
    <sheetView tabSelected="1" workbookViewId="0">
      <selection activeCell="F44" sqref="F44"/>
    </sheetView>
  </sheetViews>
  <sheetFormatPr defaultRowHeight="15"/>
  <cols>
    <col min="1" max="1" width="9.140625" customWidth="1"/>
    <col min="2" max="2" width="34.7109375" bestFit="1" customWidth="1"/>
    <col min="3" max="3" width="21.28515625" bestFit="1" customWidth="1"/>
    <col min="4" max="4" width="14.140625" bestFit="1" customWidth="1"/>
    <col min="5" max="5" width="9.140625" customWidth="1"/>
    <col min="6" max="6" width="11.140625" bestFit="1" customWidth="1"/>
  </cols>
  <sheetData>
    <row r="10" spans="1:4" ht="30" customHeight="1">
      <c r="B10" s="81" t="s">
        <v>0</v>
      </c>
      <c r="C10" s="82"/>
      <c r="D10" s="83"/>
    </row>
    <row r="11" spans="1:4" ht="16.5">
      <c r="B11" s="75" t="s">
        <v>1</v>
      </c>
      <c r="C11" s="76"/>
      <c r="D11" s="9">
        <v>3000</v>
      </c>
    </row>
    <row r="12" spans="1:4" ht="16.5">
      <c r="B12" s="77" t="s">
        <v>2</v>
      </c>
      <c r="C12" s="78"/>
      <c r="D12" s="6">
        <v>0.01</v>
      </c>
    </row>
    <row r="13" spans="1:4" ht="16.5">
      <c r="B13" s="79" t="s">
        <v>3</v>
      </c>
      <c r="C13" s="80"/>
      <c r="D13" s="10">
        <f>salario*30%</f>
        <v>900</v>
      </c>
    </row>
    <row r="15" spans="1:4" ht="30" customHeight="1">
      <c r="A15" s="1"/>
      <c r="B15" s="84" t="s">
        <v>4</v>
      </c>
      <c r="C15" s="85"/>
      <c r="D15" s="86"/>
    </row>
    <row r="16" spans="1:4" ht="16.5">
      <c r="B16" s="75" t="s">
        <v>5</v>
      </c>
      <c r="C16" s="76"/>
      <c r="D16" s="4">
        <v>600</v>
      </c>
    </row>
    <row r="17" spans="1:4" ht="16.5">
      <c r="B17" s="77" t="s">
        <v>6</v>
      </c>
      <c r="C17" s="78"/>
      <c r="D17" s="5">
        <v>5</v>
      </c>
    </row>
    <row r="18" spans="1:4" ht="16.5">
      <c r="B18" s="77" t="s">
        <v>7</v>
      </c>
      <c r="C18" s="78"/>
      <c r="D18" s="6">
        <v>1.0789999999999999E-2</v>
      </c>
    </row>
    <row r="19" spans="1:4" ht="16.5">
      <c r="B19" s="69" t="s">
        <v>8</v>
      </c>
      <c r="C19" s="70"/>
      <c r="D19" s="7">
        <f>FV(taxa_mensal,qtd_anos*12,aporte*(-1))</f>
        <v>50266.148399092584</v>
      </c>
    </row>
    <row r="20" spans="1:4" ht="16.5">
      <c r="B20" s="71" t="s">
        <v>9</v>
      </c>
      <c r="C20" s="72"/>
      <c r="D20" s="8">
        <f>D19*rendimento_carteira</f>
        <v>502.66148399092583</v>
      </c>
    </row>
    <row r="22" spans="1:4" ht="30" customHeight="1">
      <c r="B22" s="73" t="s">
        <v>10</v>
      </c>
      <c r="C22" s="74"/>
      <c r="D22" s="3" t="s">
        <v>11</v>
      </c>
    </row>
    <row r="23" spans="1:4" ht="16.5">
      <c r="A23" s="2">
        <v>2</v>
      </c>
      <c r="B23" s="11" t="s">
        <v>12</v>
      </c>
      <c r="C23" s="12">
        <f>FV($D$18,$A23*12,$D$16*(-1))</f>
        <v>16336.57637858713</v>
      </c>
      <c r="D23" s="16">
        <f>$C23*rendimento_carteira</f>
        <v>163.36576378587131</v>
      </c>
    </row>
    <row r="24" spans="1:4" ht="16.5">
      <c r="A24" s="2">
        <v>5</v>
      </c>
      <c r="B24" s="13" t="s">
        <v>13</v>
      </c>
      <c r="C24" s="12">
        <f>FV($D$18,$A24*12,$D$16*(-1))</f>
        <v>50266.148399092584</v>
      </c>
      <c r="D24" s="16">
        <f>$C24*rendimento_carteira</f>
        <v>502.66148399092583</v>
      </c>
    </row>
    <row r="25" spans="1:4" ht="16.5">
      <c r="A25" s="2">
        <v>10</v>
      </c>
      <c r="B25" s="13" t="s">
        <v>14</v>
      </c>
      <c r="C25" s="12">
        <f>FV($D$18,$A25*12,$D$16*(-1))</f>
        <v>145970.52751810331</v>
      </c>
      <c r="D25" s="16">
        <f>$C25*rendimento_carteira</f>
        <v>1459.7052751810331</v>
      </c>
    </row>
    <row r="26" spans="1:4" ht="16.5">
      <c r="A26" s="2">
        <v>20</v>
      </c>
      <c r="B26" s="13" t="s">
        <v>15</v>
      </c>
      <c r="C26" s="12">
        <f>FV($D$18,$A26*12,$D$16*(-1))</f>
        <v>675119.04005824833</v>
      </c>
      <c r="D26" s="16">
        <f>$C26*rendimento_carteira</f>
        <v>6751.1904005824836</v>
      </c>
    </row>
    <row r="27" spans="1:4" ht="16.5">
      <c r="A27" s="2">
        <v>30</v>
      </c>
      <c r="B27" s="14" t="s">
        <v>16</v>
      </c>
      <c r="C27" s="15">
        <f>FV($D$18,$A27*12,$D$16*(-1))</f>
        <v>2593301.7930028285</v>
      </c>
      <c r="D27" s="17">
        <f>$C27*rendimento_carteira</f>
        <v>25933.017930028287</v>
      </c>
    </row>
    <row r="29" spans="1:4" ht="16.5">
      <c r="B29" s="20" t="s">
        <v>17</v>
      </c>
      <c r="C29" s="21" t="s">
        <v>18</v>
      </c>
      <c r="D29" s="20"/>
    </row>
    <row r="30" spans="1:4" ht="16.5">
      <c r="B30" s="22" t="s">
        <v>19</v>
      </c>
      <c r="C30" s="23">
        <f>aporte</f>
        <v>600</v>
      </c>
      <c r="D30" s="24"/>
    </row>
    <row r="31" spans="1:4" ht="16.5">
      <c r="B31" s="26" t="s">
        <v>20</v>
      </c>
      <c r="C31" s="27">
        <f>sugestao_investimento</f>
        <v>900</v>
      </c>
      <c r="D31" s="26"/>
    </row>
    <row r="32" spans="1:4" ht="16.5">
      <c r="B32" s="25"/>
      <c r="C32" s="25"/>
      <c r="D32" s="25"/>
    </row>
    <row r="33" spans="2:4" ht="16.5" customHeight="1">
      <c r="B33" s="54" t="s">
        <v>21</v>
      </c>
      <c r="C33" s="55" t="s">
        <v>22</v>
      </c>
      <c r="D33" s="56" t="s">
        <v>23</v>
      </c>
    </row>
    <row r="34" spans="2:4" ht="16.5">
      <c r="B34" s="39" t="s">
        <v>24</v>
      </c>
      <c r="C34" s="51">
        <f>VLOOKUP($C$29&amp;"-"&amp;$B34,Support_table!$A:$D,4,FALSE)</f>
        <v>0.3</v>
      </c>
      <c r="D34" s="57">
        <f>$C$30*$C34</f>
        <v>180</v>
      </c>
    </row>
    <row r="35" spans="2:4" ht="16.5">
      <c r="B35" s="42" t="s">
        <v>25</v>
      </c>
      <c r="C35" s="52">
        <f>VLOOKUP($C$29&amp;"-"&amp;$B35,Support_table!$A:$D,4,FALSE)</f>
        <v>0.5</v>
      </c>
      <c r="D35" s="58">
        <f t="shared" ref="D35:D38" si="0">$C$30*$C35</f>
        <v>300</v>
      </c>
    </row>
    <row r="36" spans="2:4" ht="16.5">
      <c r="B36" s="42" t="s">
        <v>26</v>
      </c>
      <c r="C36" s="52">
        <f>VLOOKUP($C$29&amp;"-"&amp;$B36,Support_table!$A:$D,4,FALSE)</f>
        <v>0.1</v>
      </c>
      <c r="D36" s="58">
        <f t="shared" si="0"/>
        <v>60</v>
      </c>
    </row>
    <row r="37" spans="2:4" ht="16.5">
      <c r="B37" s="42" t="s">
        <v>27</v>
      </c>
      <c r="C37" s="52">
        <f>VLOOKUP($C$29&amp;"-"&amp;$B37,Support_table!$A:$D,4,FALSE)</f>
        <v>0.1</v>
      </c>
      <c r="D37" s="58">
        <f t="shared" si="0"/>
        <v>60</v>
      </c>
    </row>
    <row r="38" spans="2:4" ht="16.5">
      <c r="B38" s="42" t="s">
        <v>28</v>
      </c>
      <c r="C38" s="52">
        <f>VLOOKUP($C$29&amp;"-"&amp;$B38,Support_table!$A:$D,4,FALSE)</f>
        <v>0</v>
      </c>
      <c r="D38" s="58">
        <f t="shared" si="0"/>
        <v>0</v>
      </c>
    </row>
    <row r="39" spans="2:4" ht="16.5">
      <c r="B39" s="45" t="s">
        <v>29</v>
      </c>
      <c r="C39" s="53">
        <f>VLOOKUP($C$29&amp;"-"&amp;$B39,Support_table!$A:$D,4,FALSE)</f>
        <v>0</v>
      </c>
      <c r="D39" s="59">
        <f>$C$30*$C39</f>
        <v>0</v>
      </c>
    </row>
    <row r="40" spans="2:4" ht="16.5">
      <c r="B40" s="60" t="s">
        <v>19</v>
      </c>
      <c r="C40" s="61"/>
      <c r="D40" s="62">
        <f>SUM(D34:D39)</f>
        <v>600</v>
      </c>
    </row>
    <row r="42" spans="2:4" ht="16.5">
      <c r="B42" s="63" t="s">
        <v>21</v>
      </c>
      <c r="C42" s="64" t="s">
        <v>22</v>
      </c>
      <c r="D42" s="65" t="s">
        <v>23</v>
      </c>
    </row>
    <row r="43" spans="2:4" ht="16.5">
      <c r="B43" s="39" t="s">
        <v>24</v>
      </c>
      <c r="C43" s="51">
        <f>VLOOKUP($C$29&amp;"-"&amp;$B43,Support_table!$A:$D,4,FALSE)</f>
        <v>0.3</v>
      </c>
      <c r="D43" s="57">
        <f>sugestao_investimento*C43</f>
        <v>270</v>
      </c>
    </row>
    <row r="44" spans="2:4" ht="16.5">
      <c r="B44" s="42" t="s">
        <v>25</v>
      </c>
      <c r="C44" s="52">
        <f>VLOOKUP($C$29&amp;"-"&amp;$B44,Support_table!$A:$D,4,FALSE)</f>
        <v>0.5</v>
      </c>
      <c r="D44" s="58">
        <f>sugestao_investimento*C44</f>
        <v>450</v>
      </c>
    </row>
    <row r="45" spans="2:4" ht="16.5">
      <c r="B45" s="42" t="s">
        <v>26</v>
      </c>
      <c r="C45" s="52">
        <f>VLOOKUP($C$29&amp;"-"&amp;$B45,Support_table!$A:$D,4,FALSE)</f>
        <v>0.1</v>
      </c>
      <c r="D45" s="58">
        <f>sugestao_investimento*C45</f>
        <v>90</v>
      </c>
    </row>
    <row r="46" spans="2:4" ht="16.5">
      <c r="B46" s="42" t="s">
        <v>27</v>
      </c>
      <c r="C46" s="52">
        <f>VLOOKUP($C$29&amp;"-"&amp;$B46,Support_table!$A:$D,4,FALSE)</f>
        <v>0.1</v>
      </c>
      <c r="D46" s="58">
        <f>sugestao_investimento*C46</f>
        <v>90</v>
      </c>
    </row>
    <row r="47" spans="2:4" ht="16.5">
      <c r="B47" s="42" t="s">
        <v>28</v>
      </c>
      <c r="C47" s="52">
        <f>VLOOKUP($C$29&amp;"-"&amp;$B47,Support_table!$A:$D,4,FALSE)</f>
        <v>0</v>
      </c>
      <c r="D47" s="58">
        <f>sugestao_investimento*C47</f>
        <v>0</v>
      </c>
    </row>
    <row r="48" spans="2:4" ht="16.5">
      <c r="B48" s="45" t="s">
        <v>29</v>
      </c>
      <c r="C48" s="53">
        <f>VLOOKUP($C$29&amp;"-"&amp;$B48,Support_table!$A:$D,4,FALSE)</f>
        <v>0</v>
      </c>
      <c r="D48" s="59">
        <f>sugestao_investimento*C48</f>
        <v>0</v>
      </c>
    </row>
    <row r="49" spans="2:4" ht="16.5">
      <c r="B49" s="66" t="s">
        <v>20</v>
      </c>
      <c r="C49" s="67"/>
      <c r="D49" s="68">
        <f>SUM(D43:D48)</f>
        <v>900</v>
      </c>
    </row>
  </sheetData>
  <mergeCells count="11">
    <mergeCell ref="B10:D10"/>
    <mergeCell ref="B15:D15"/>
    <mergeCell ref="B16:C16"/>
    <mergeCell ref="B17:C17"/>
    <mergeCell ref="B18:C18"/>
    <mergeCell ref="B19:C19"/>
    <mergeCell ref="B20:C20"/>
    <mergeCell ref="B22:C22"/>
    <mergeCell ref="B11:C11"/>
    <mergeCell ref="B12:C12"/>
    <mergeCell ref="B13:C13"/>
  </mergeCells>
  <dataValidations count="1">
    <dataValidation type="list" allowBlank="1" showInputMessage="1" showErrorMessage="1" sqref="C29" xr:uid="{6C0B77E9-D6A5-4071-95D9-C8FAEC12D6E4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23316-CAC0-4FB2-978B-CE2FB22F6C6F}">
  <dimension ref="A1:H22"/>
  <sheetViews>
    <sheetView workbookViewId="0">
      <selection activeCell="F3" sqref="F3"/>
    </sheetView>
  </sheetViews>
  <sheetFormatPr defaultRowHeight="15"/>
  <cols>
    <col min="1" max="1" width="33.28515625" style="18" bestFit="1" customWidth="1"/>
    <col min="2" max="2" width="24.42578125" style="18" bestFit="1" customWidth="1"/>
    <col min="3" max="3" width="20.42578125" style="18" bestFit="1" customWidth="1"/>
    <col min="4" max="4" width="8.140625" style="19" bestFit="1" customWidth="1"/>
    <col min="6" max="6" width="33.28515625" bestFit="1" customWidth="1"/>
    <col min="8" max="8" width="7.28515625" bestFit="1" customWidth="1"/>
  </cols>
  <sheetData>
    <row r="1" spans="1:8" ht="16.5">
      <c r="A1" s="28" t="s">
        <v>30</v>
      </c>
      <c r="B1" s="29" t="s">
        <v>31</v>
      </c>
      <c r="C1" s="29" t="s">
        <v>21</v>
      </c>
      <c r="D1" s="30" t="s">
        <v>32</v>
      </c>
      <c r="E1" s="25"/>
      <c r="F1" s="25"/>
      <c r="G1" s="25"/>
      <c r="H1" s="25"/>
    </row>
    <row r="2" spans="1:8" ht="16.5">
      <c r="A2" s="31" t="s">
        <v>33</v>
      </c>
      <c r="B2" s="32" t="s">
        <v>34</v>
      </c>
      <c r="C2" s="32" t="s">
        <v>24</v>
      </c>
      <c r="D2" s="33">
        <v>0.3</v>
      </c>
      <c r="E2" s="25"/>
      <c r="F2" s="25"/>
      <c r="G2" s="25"/>
      <c r="H2" s="34" t="s">
        <v>35</v>
      </c>
    </row>
    <row r="3" spans="1:8" ht="16.5">
      <c r="A3" s="31" t="s">
        <v>36</v>
      </c>
      <c r="B3" s="32" t="s">
        <v>34</v>
      </c>
      <c r="C3" s="32" t="s">
        <v>25</v>
      </c>
      <c r="D3" s="33">
        <v>0.5</v>
      </c>
      <c r="E3" s="25"/>
      <c r="F3" s="20" t="s">
        <v>37</v>
      </c>
      <c r="G3" s="20"/>
      <c r="H3" s="35">
        <f>VLOOKUP($F$3,$A:$D,4,FALSE)</f>
        <v>0.5</v>
      </c>
    </row>
    <row r="4" spans="1:8" ht="16.5">
      <c r="A4" s="31" t="s">
        <v>38</v>
      </c>
      <c r="B4" s="32" t="s">
        <v>34</v>
      </c>
      <c r="C4" s="32" t="s">
        <v>26</v>
      </c>
      <c r="D4" s="33">
        <v>0.1</v>
      </c>
      <c r="E4" s="25"/>
      <c r="F4" s="25"/>
      <c r="G4" s="25"/>
      <c r="H4" s="25"/>
    </row>
    <row r="5" spans="1:8" ht="16.5">
      <c r="A5" s="31" t="s">
        <v>39</v>
      </c>
      <c r="B5" s="32" t="s">
        <v>34</v>
      </c>
      <c r="C5" s="32" t="s">
        <v>27</v>
      </c>
      <c r="D5" s="33">
        <v>0.1</v>
      </c>
      <c r="E5" s="25"/>
      <c r="F5" s="25"/>
      <c r="G5" s="25"/>
      <c r="H5" s="25"/>
    </row>
    <row r="6" spans="1:8" ht="16.5">
      <c r="A6" s="31" t="s">
        <v>40</v>
      </c>
      <c r="B6" s="32" t="s">
        <v>34</v>
      </c>
      <c r="C6" s="32" t="s">
        <v>28</v>
      </c>
      <c r="D6" s="33">
        <v>0</v>
      </c>
      <c r="E6" s="25"/>
      <c r="F6" s="25"/>
      <c r="G6" s="25"/>
      <c r="H6" s="25"/>
    </row>
    <row r="7" spans="1:8" ht="16.5">
      <c r="A7" s="31" t="s">
        <v>41</v>
      </c>
      <c r="B7" s="32" t="s">
        <v>34</v>
      </c>
      <c r="C7" s="32" t="s">
        <v>29</v>
      </c>
      <c r="D7" s="33">
        <v>0</v>
      </c>
      <c r="E7" s="25"/>
      <c r="F7" s="25"/>
      <c r="G7" s="25"/>
      <c r="H7" s="25"/>
    </row>
    <row r="8" spans="1:8" ht="16.5">
      <c r="A8" s="36"/>
      <c r="B8" s="37"/>
      <c r="C8" s="37"/>
      <c r="D8" s="38"/>
      <c r="E8" s="25"/>
      <c r="F8" s="25"/>
      <c r="G8" s="25"/>
      <c r="H8" s="25"/>
    </row>
    <row r="9" spans="1:8" ht="16.5">
      <c r="A9" s="39" t="s">
        <v>42</v>
      </c>
      <c r="B9" s="40" t="s">
        <v>43</v>
      </c>
      <c r="C9" s="40" t="s">
        <v>24</v>
      </c>
      <c r="D9" s="41">
        <v>0.32</v>
      </c>
      <c r="E9" s="25"/>
      <c r="F9" s="25"/>
      <c r="G9" s="25"/>
      <c r="H9" s="25"/>
    </row>
    <row r="10" spans="1:8" ht="16.5">
      <c r="A10" s="42" t="s">
        <v>44</v>
      </c>
      <c r="B10" s="43" t="s">
        <v>43</v>
      </c>
      <c r="C10" s="43" t="s">
        <v>25</v>
      </c>
      <c r="D10" s="44">
        <v>0.35</v>
      </c>
      <c r="E10" s="25"/>
      <c r="F10" s="25"/>
      <c r="G10" s="25"/>
      <c r="H10" s="25"/>
    </row>
    <row r="11" spans="1:8" ht="16.5">
      <c r="A11" s="42" t="s">
        <v>45</v>
      </c>
      <c r="B11" s="43" t="s">
        <v>43</v>
      </c>
      <c r="C11" s="43" t="s">
        <v>26</v>
      </c>
      <c r="D11" s="44">
        <v>0.08</v>
      </c>
      <c r="E11" s="25"/>
      <c r="F11" s="25"/>
      <c r="G11" s="25"/>
      <c r="H11" s="25"/>
    </row>
    <row r="12" spans="1:8" ht="16.5">
      <c r="A12" s="42" t="s">
        <v>46</v>
      </c>
      <c r="B12" s="43" t="s">
        <v>43</v>
      </c>
      <c r="C12" s="43" t="s">
        <v>27</v>
      </c>
      <c r="D12" s="44">
        <v>0.05</v>
      </c>
      <c r="E12" s="25"/>
      <c r="F12" s="25"/>
      <c r="G12" s="25"/>
      <c r="H12" s="25"/>
    </row>
    <row r="13" spans="1:8" ht="16.5">
      <c r="A13" s="42" t="s">
        <v>47</v>
      </c>
      <c r="B13" s="43" t="s">
        <v>43</v>
      </c>
      <c r="C13" s="43" t="s">
        <v>28</v>
      </c>
      <c r="D13" s="44">
        <v>0.1</v>
      </c>
      <c r="E13" s="25"/>
      <c r="F13" s="25"/>
      <c r="G13" s="25"/>
      <c r="H13" s="25"/>
    </row>
    <row r="14" spans="1:8" ht="16.5">
      <c r="A14" s="45" t="s">
        <v>48</v>
      </c>
      <c r="B14" s="46" t="s">
        <v>43</v>
      </c>
      <c r="C14" s="46" t="s">
        <v>29</v>
      </c>
      <c r="D14" s="47">
        <v>0.1</v>
      </c>
      <c r="E14" s="25"/>
      <c r="F14" s="25"/>
      <c r="G14" s="25"/>
      <c r="H14" s="25"/>
    </row>
    <row r="15" spans="1:8" ht="16.5">
      <c r="A15" s="36"/>
      <c r="B15" s="37"/>
      <c r="C15" s="37"/>
      <c r="D15" s="38"/>
      <c r="E15" s="25"/>
      <c r="F15" s="25"/>
      <c r="G15" s="25"/>
      <c r="H15" s="25"/>
    </row>
    <row r="16" spans="1:8" ht="16.5">
      <c r="A16" s="31" t="s">
        <v>37</v>
      </c>
      <c r="B16" s="32" t="s">
        <v>49</v>
      </c>
      <c r="C16" s="32" t="s">
        <v>24</v>
      </c>
      <c r="D16" s="33">
        <v>0.5</v>
      </c>
      <c r="E16" s="25"/>
      <c r="F16" s="25"/>
      <c r="G16" s="25"/>
      <c r="H16" s="25"/>
    </row>
    <row r="17" spans="1:8" ht="16.5">
      <c r="A17" s="31" t="s">
        <v>50</v>
      </c>
      <c r="B17" s="32" t="s">
        <v>49</v>
      </c>
      <c r="C17" s="32" t="s">
        <v>25</v>
      </c>
      <c r="D17" s="33">
        <v>0.1</v>
      </c>
      <c r="E17" s="25"/>
      <c r="F17" s="25"/>
      <c r="G17" s="25"/>
      <c r="H17" s="25"/>
    </row>
    <row r="18" spans="1:8" ht="16.5">
      <c r="A18" s="31" t="s">
        <v>51</v>
      </c>
      <c r="B18" s="32" t="s">
        <v>49</v>
      </c>
      <c r="C18" s="32" t="s">
        <v>26</v>
      </c>
      <c r="D18" s="33">
        <v>0.05</v>
      </c>
      <c r="E18" s="25"/>
      <c r="F18" s="25"/>
      <c r="G18" s="25"/>
      <c r="H18" s="25"/>
    </row>
    <row r="19" spans="1:8" ht="16.5">
      <c r="A19" s="31" t="s">
        <v>52</v>
      </c>
      <c r="B19" s="32" t="s">
        <v>49</v>
      </c>
      <c r="C19" s="32" t="s">
        <v>27</v>
      </c>
      <c r="D19" s="33">
        <v>0.05</v>
      </c>
      <c r="E19" s="25"/>
      <c r="F19" s="25"/>
      <c r="G19" s="25"/>
      <c r="H19" s="25"/>
    </row>
    <row r="20" spans="1:8" ht="16.5">
      <c r="A20" s="31" t="s">
        <v>53</v>
      </c>
      <c r="B20" s="32" t="s">
        <v>49</v>
      </c>
      <c r="C20" s="32" t="s">
        <v>28</v>
      </c>
      <c r="D20" s="33">
        <v>0.2</v>
      </c>
      <c r="E20" s="25"/>
      <c r="F20" s="25"/>
      <c r="G20" s="25"/>
      <c r="H20" s="25"/>
    </row>
    <row r="21" spans="1:8" ht="16.5">
      <c r="A21" s="31" t="s">
        <v>54</v>
      </c>
      <c r="B21" s="32" t="s">
        <v>49</v>
      </c>
      <c r="C21" s="32" t="s">
        <v>29</v>
      </c>
      <c r="D21" s="33">
        <v>0.1</v>
      </c>
      <c r="E21" s="25"/>
      <c r="F21" s="25"/>
      <c r="G21" s="25"/>
      <c r="H21" s="25"/>
    </row>
    <row r="22" spans="1:8" ht="16.5">
      <c r="A22" s="48"/>
      <c r="B22" s="49"/>
      <c r="C22" s="49"/>
      <c r="D22" s="50"/>
      <c r="E22" s="25"/>
      <c r="F22" s="25"/>
      <c r="G22" s="25"/>
      <c r="H22" s="25"/>
    </row>
  </sheetData>
  <conditionalFormatting sqref="A2:D21">
    <cfRule type="expression" dxfId="0" priority="1">
      <formula>$A2=$F$3</formula>
    </cfRule>
  </conditionalFormatting>
  <dataValidations count="1">
    <dataValidation type="list" allowBlank="1" showInputMessage="1" showErrorMessage="1" sqref="F3" xr:uid="{6D4470FF-5104-43E7-A0E4-44EE30DCB8C0}">
      <formula1>$A$2:$A$21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2025-12-21T21:52:20Z</dcterms:created>
  <dcterms:modified xsi:type="dcterms:W3CDTF">2025-12-23T04:16:13Z</dcterms:modified>
  <cp:category/>
  <cp:contentStatus/>
</cp:coreProperties>
</file>